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记录" sheetId="1" state="visible" r:id="rId1"/>
    <sheet xmlns:r="http://schemas.openxmlformats.org/officeDocument/2006/relationships" name="自动汇总" sheetId="2" state="visible" r:id="rId2"/>
    <sheet xmlns:r="http://schemas.openxmlformats.org/officeDocument/2006/relationships" name="访谈提纲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8">
    <font>
      <name val="Calibri"/>
      <family val="2"/>
      <color theme="1"/>
      <sz val="11"/>
      <scheme val="minor"/>
    </font>
    <font>
      <name val="微软雅黑"/>
      <b val="1"/>
      <color rgb="008C1F28"/>
      <sz val="14"/>
    </font>
    <font>
      <name val="微软雅黑"/>
      <b val="1"/>
      <color rgb="00FFFFFF"/>
      <sz val="9.5"/>
    </font>
    <font>
      <name val="微软雅黑"/>
      <sz val="9.5"/>
    </font>
    <font>
      <name val="微软雅黑"/>
      <b val="1"/>
      <sz val="10"/>
    </font>
    <font>
      <name val="微软雅黑"/>
      <b val="1"/>
      <color rgb="008C1F28"/>
      <sz val="11"/>
    </font>
    <font>
      <name val="微软雅黑"/>
      <color rgb="00595959"/>
      <sz val="9"/>
    </font>
    <font>
      <name val="微软雅黑"/>
      <sz val="10"/>
    </font>
  </fonts>
  <fills count="4">
    <fill>
      <patternFill/>
    </fill>
    <fill>
      <patternFill patternType="gray125"/>
    </fill>
    <fill>
      <patternFill patternType="solid">
        <fgColor rgb="008C1F28"/>
      </patternFill>
    </fill>
    <fill>
      <patternFill patternType="solid">
        <fgColor rgb="00FBF7F3"/>
      </patternFill>
    </fill>
  </fills>
  <borders count="2">
    <border>
      <left/>
      <right/>
      <top/>
      <bottom/>
      <diagonal/>
    </border>
    <border>
      <left style="thin">
        <color rgb="00D9C9C9"/>
      </left>
      <right style="thin">
        <color rgb="00D9C9C9"/>
      </right>
      <top style="thin">
        <color rgb="00D9C9C9"/>
      </top>
      <bottom style="thin">
        <color rgb="00D9C9C9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applyAlignment="1" pivotButton="0" quotePrefix="0" xfId="0">
      <alignment vertical="center"/>
    </xf>
    <xf numFmtId="0" fontId="2" fillId="2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vertical="top" wrapText="1"/>
    </xf>
    <xf numFmtId="0" fontId="1" fillId="0" borderId="0" pivotButton="0" quotePrefix="0" xfId="0"/>
    <xf numFmtId="0" fontId="4" fillId="0" borderId="0" pivotButton="0" quotePrefix="0" xfId="0"/>
    <xf numFmtId="1" fontId="5" fillId="0" borderId="0" applyAlignment="1" pivotButton="0" quotePrefix="0" xfId="0">
      <alignment horizontal="center"/>
    </xf>
    <xf numFmtId="0" fontId="6" fillId="0" borderId="0" pivotButton="0" quotePrefix="0" xfId="0"/>
    <xf numFmtId="2" fontId="5" fillId="0" borderId="0" applyAlignment="1" pivotButton="0" quotePrefix="0" xfId="0">
      <alignment horizontal="center"/>
    </xf>
    <xf numFmtId="164" fontId="5" fillId="0" borderId="0" applyAlignment="1" pivotButton="0" quotePrefix="0" xfId="0">
      <alignment horizontal="center"/>
    </xf>
    <xf numFmtId="0" fontId="5" fillId="0" borderId="0" pivotButton="0" quotePrefix="0" xfId="0"/>
    <xf numFmtId="0" fontId="7" fillId="0" borderId="0" pivotButton="0" quotePrefix="0" xfId="0"/>
    <xf numFmtId="0" fontId="3" fillId="0" borderId="0" pivotButton="0" quotePrefix="0" xfId="0"/>
    <xf numFmtId="0" fontId="0" fillId="3" borderId="1" pivotButton="0" quotePrefix="0" xfId="0"/>
    <xf numFmtId="0" fontId="7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2"/>
  <sheetViews>
    <sheetView workbookViewId="0">
      <pane xSplit="5" ySplit="2" topLeftCell="F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7" customWidth="1" min="1" max="1"/>
    <col width="11" customWidth="1" min="2" max="2"/>
    <col width="11" customWidth="1" min="3" max="3"/>
    <col width="9" customWidth="1" min="4" max="4"/>
    <col width="11" customWidth="1" min="5" max="5"/>
    <col width="20" customWidth="1" min="6" max="6"/>
    <col width="20" customWidth="1" min="7" max="7"/>
    <col width="20" customWidth="1" min="8" max="8"/>
    <col width="9" customWidth="1" min="9" max="9"/>
    <col width="9" customWidth="1" min="10" max="10"/>
    <col width="11" customWidth="1" min="11" max="11"/>
    <col width="8" customWidth="1" min="12" max="12"/>
    <col width="11" customWidth="1" min="13" max="13"/>
    <col width="26" customWidth="1" min="14" max="14"/>
    <col width="18" customWidth="1" min="15" max="15"/>
  </cols>
  <sheetData>
    <row r="1" ht="28" customHeight="1">
      <c r="A1" s="1" t="inlineStr">
        <is>
          <t>红迹·延安 · 20 人真实测试记录（每人 2—3 问，扫码体验）</t>
        </is>
      </c>
    </row>
    <row r="2" ht="36" customHeight="1">
      <c r="A2" s="2" t="inlineStr">
        <is>
          <t>编号</t>
        </is>
      </c>
      <c r="B2" s="2" t="inlineStr">
        <is>
          <t>日期</t>
        </is>
      </c>
      <c r="C2" s="2" t="inlineStr">
        <is>
          <t>测试对象</t>
        </is>
      </c>
      <c r="D2" s="2" t="inlineStr">
        <is>
          <t>年龄段</t>
        </is>
      </c>
      <c r="E2" s="2" t="inlineStr">
        <is>
          <t>接触方式</t>
        </is>
      </c>
      <c r="F2" s="2" t="inlineStr">
        <is>
          <t>问题 1</t>
        </is>
      </c>
      <c r="G2" s="2" t="inlineStr">
        <is>
          <t>问题 2</t>
        </is>
      </c>
      <c r="H2" s="2" t="inlineStr">
        <is>
          <t>问题 3</t>
        </is>
      </c>
      <c r="I2" s="2" t="inlineStr">
        <is>
          <t>准确性
1—5 分</t>
        </is>
      </c>
      <c r="J2" s="2" t="inlineStr">
        <is>
          <t>是否编造</t>
        </is>
      </c>
      <c r="K2" s="2" t="inlineStr">
        <is>
          <t>拒答是否得当</t>
        </is>
      </c>
      <c r="L2" s="2" t="inlineStr">
        <is>
          <t>问了几轮</t>
        </is>
      </c>
      <c r="M2" s="2" t="inlineStr">
        <is>
          <t>是否愿意分享</t>
        </is>
      </c>
      <c r="N2" s="2" t="inlineStr">
        <is>
          <t>最大的问题</t>
        </is>
      </c>
      <c r="O2" s="2" t="inlineStr">
        <is>
          <t>备注</t>
        </is>
      </c>
    </row>
    <row r="3" ht="30" customHeight="1">
      <c r="A3" s="3" t="inlineStr">
        <is>
          <t>T01</t>
        </is>
      </c>
      <c r="B3" s="3" t="n"/>
      <c r="C3" s="3" t="n"/>
      <c r="D3" s="3" t="n"/>
      <c r="E3" s="3" t="n"/>
      <c r="F3" s="4" t="n"/>
      <c r="G3" s="4" t="n"/>
      <c r="H3" s="4" t="n"/>
      <c r="I3" s="3" t="n"/>
      <c r="J3" s="3" t="n"/>
      <c r="K3" s="3" t="n"/>
      <c r="L3" s="3" t="n"/>
      <c r="M3" s="3" t="n"/>
      <c r="N3" s="4" t="n"/>
      <c r="O3" s="4" t="n"/>
    </row>
    <row r="4" ht="30" customHeight="1">
      <c r="A4" s="3" t="inlineStr">
        <is>
          <t>T02</t>
        </is>
      </c>
      <c r="B4" s="3" t="n"/>
      <c r="C4" s="3" t="n"/>
      <c r="D4" s="3" t="n"/>
      <c r="E4" s="3" t="n"/>
      <c r="F4" s="4" t="n"/>
      <c r="G4" s="4" t="n"/>
      <c r="H4" s="4" t="n"/>
      <c r="I4" s="3" t="n"/>
      <c r="J4" s="3" t="n"/>
      <c r="K4" s="3" t="n"/>
      <c r="L4" s="3" t="n"/>
      <c r="M4" s="3" t="n"/>
      <c r="N4" s="4" t="n"/>
      <c r="O4" s="4" t="n"/>
    </row>
    <row r="5" ht="30" customHeight="1">
      <c r="A5" s="3" t="inlineStr">
        <is>
          <t>T03</t>
        </is>
      </c>
      <c r="B5" s="3" t="n"/>
      <c r="C5" s="3" t="n"/>
      <c r="D5" s="3" t="n"/>
      <c r="E5" s="3" t="n"/>
      <c r="F5" s="4" t="n"/>
      <c r="G5" s="4" t="n"/>
      <c r="H5" s="4" t="n"/>
      <c r="I5" s="3" t="n"/>
      <c r="J5" s="3" t="n"/>
      <c r="K5" s="3" t="n"/>
      <c r="L5" s="3" t="n"/>
      <c r="M5" s="3" t="n"/>
      <c r="N5" s="4" t="n"/>
      <c r="O5" s="4" t="n"/>
    </row>
    <row r="6" ht="30" customHeight="1">
      <c r="A6" s="3" t="inlineStr">
        <is>
          <t>T04</t>
        </is>
      </c>
      <c r="B6" s="3" t="n"/>
      <c r="C6" s="3" t="n"/>
      <c r="D6" s="3" t="n"/>
      <c r="E6" s="3" t="n"/>
      <c r="F6" s="4" t="n"/>
      <c r="G6" s="4" t="n"/>
      <c r="H6" s="4" t="n"/>
      <c r="I6" s="3" t="n"/>
      <c r="J6" s="3" t="n"/>
      <c r="K6" s="3" t="n"/>
      <c r="L6" s="3" t="n"/>
      <c r="M6" s="3" t="n"/>
      <c r="N6" s="4" t="n"/>
      <c r="O6" s="4" t="n"/>
    </row>
    <row r="7" ht="30" customHeight="1">
      <c r="A7" s="3" t="inlineStr">
        <is>
          <t>T05</t>
        </is>
      </c>
      <c r="B7" s="3" t="n"/>
      <c r="C7" s="3" t="n"/>
      <c r="D7" s="3" t="n"/>
      <c r="E7" s="3" t="n"/>
      <c r="F7" s="4" t="n"/>
      <c r="G7" s="4" t="n"/>
      <c r="H7" s="4" t="n"/>
      <c r="I7" s="3" t="n"/>
      <c r="J7" s="3" t="n"/>
      <c r="K7" s="3" t="n"/>
      <c r="L7" s="3" t="n"/>
      <c r="M7" s="3" t="n"/>
      <c r="N7" s="4" t="n"/>
      <c r="O7" s="4" t="n"/>
    </row>
    <row r="8" ht="30" customHeight="1">
      <c r="A8" s="3" t="inlineStr">
        <is>
          <t>T06</t>
        </is>
      </c>
      <c r="B8" s="3" t="n"/>
      <c r="C8" s="3" t="n"/>
      <c r="D8" s="3" t="n"/>
      <c r="E8" s="3" t="n"/>
      <c r="F8" s="4" t="n"/>
      <c r="G8" s="4" t="n"/>
      <c r="H8" s="4" t="n"/>
      <c r="I8" s="3" t="n"/>
      <c r="J8" s="3" t="n"/>
      <c r="K8" s="3" t="n"/>
      <c r="L8" s="3" t="n"/>
      <c r="M8" s="3" t="n"/>
      <c r="N8" s="4" t="n"/>
      <c r="O8" s="4" t="n"/>
    </row>
    <row r="9" ht="30" customHeight="1">
      <c r="A9" s="3" t="inlineStr">
        <is>
          <t>T07</t>
        </is>
      </c>
      <c r="B9" s="3" t="n"/>
      <c r="C9" s="3" t="n"/>
      <c r="D9" s="3" t="n"/>
      <c r="E9" s="3" t="n"/>
      <c r="F9" s="4" t="n"/>
      <c r="G9" s="4" t="n"/>
      <c r="H9" s="4" t="n"/>
      <c r="I9" s="3" t="n"/>
      <c r="J9" s="3" t="n"/>
      <c r="K9" s="3" t="n"/>
      <c r="L9" s="3" t="n"/>
      <c r="M9" s="3" t="n"/>
      <c r="N9" s="4" t="n"/>
      <c r="O9" s="4" t="n"/>
    </row>
    <row r="10" ht="30" customHeight="1">
      <c r="A10" s="3" t="inlineStr">
        <is>
          <t>T08</t>
        </is>
      </c>
      <c r="B10" s="3" t="n"/>
      <c r="C10" s="3" t="n"/>
      <c r="D10" s="3" t="n"/>
      <c r="E10" s="3" t="n"/>
      <c r="F10" s="4" t="n"/>
      <c r="G10" s="4" t="n"/>
      <c r="H10" s="4" t="n"/>
      <c r="I10" s="3" t="n"/>
      <c r="J10" s="3" t="n"/>
      <c r="K10" s="3" t="n"/>
      <c r="L10" s="3" t="n"/>
      <c r="M10" s="3" t="n"/>
      <c r="N10" s="4" t="n"/>
      <c r="O10" s="4" t="n"/>
    </row>
    <row r="11" ht="30" customHeight="1">
      <c r="A11" s="3" t="inlineStr">
        <is>
          <t>T09</t>
        </is>
      </c>
      <c r="B11" s="3" t="n"/>
      <c r="C11" s="3" t="n"/>
      <c r="D11" s="3" t="n"/>
      <c r="E11" s="3" t="n"/>
      <c r="F11" s="4" t="n"/>
      <c r="G11" s="4" t="n"/>
      <c r="H11" s="4" t="n"/>
      <c r="I11" s="3" t="n"/>
      <c r="J11" s="3" t="n"/>
      <c r="K11" s="3" t="n"/>
      <c r="L11" s="3" t="n"/>
      <c r="M11" s="3" t="n"/>
      <c r="N11" s="4" t="n"/>
      <c r="O11" s="4" t="n"/>
    </row>
    <row r="12" ht="30" customHeight="1">
      <c r="A12" s="3" t="inlineStr">
        <is>
          <t>T10</t>
        </is>
      </c>
      <c r="B12" s="3" t="n"/>
      <c r="C12" s="3" t="n"/>
      <c r="D12" s="3" t="n"/>
      <c r="E12" s="3" t="n"/>
      <c r="F12" s="4" t="n"/>
      <c r="G12" s="4" t="n"/>
      <c r="H12" s="4" t="n"/>
      <c r="I12" s="3" t="n"/>
      <c r="J12" s="3" t="n"/>
      <c r="K12" s="3" t="n"/>
      <c r="L12" s="3" t="n"/>
      <c r="M12" s="3" t="n"/>
      <c r="N12" s="4" t="n"/>
      <c r="O12" s="4" t="n"/>
    </row>
    <row r="13" ht="30" customHeight="1">
      <c r="A13" s="3" t="inlineStr">
        <is>
          <t>T11</t>
        </is>
      </c>
      <c r="B13" s="3" t="n"/>
      <c r="C13" s="3" t="n"/>
      <c r="D13" s="3" t="n"/>
      <c r="E13" s="3" t="n"/>
      <c r="F13" s="4" t="n"/>
      <c r="G13" s="4" t="n"/>
      <c r="H13" s="4" t="n"/>
      <c r="I13" s="3" t="n"/>
      <c r="J13" s="3" t="n"/>
      <c r="K13" s="3" t="n"/>
      <c r="L13" s="3" t="n"/>
      <c r="M13" s="3" t="n"/>
      <c r="N13" s="4" t="n"/>
      <c r="O13" s="4" t="n"/>
    </row>
    <row r="14" ht="30" customHeight="1">
      <c r="A14" s="3" t="inlineStr">
        <is>
          <t>T12</t>
        </is>
      </c>
      <c r="B14" s="3" t="n"/>
      <c r="C14" s="3" t="n"/>
      <c r="D14" s="3" t="n"/>
      <c r="E14" s="3" t="n"/>
      <c r="F14" s="4" t="n"/>
      <c r="G14" s="4" t="n"/>
      <c r="H14" s="4" t="n"/>
      <c r="I14" s="3" t="n"/>
      <c r="J14" s="3" t="n"/>
      <c r="K14" s="3" t="n"/>
      <c r="L14" s="3" t="n"/>
      <c r="M14" s="3" t="n"/>
      <c r="N14" s="4" t="n"/>
      <c r="O14" s="4" t="n"/>
    </row>
    <row r="15" ht="30" customHeight="1">
      <c r="A15" s="3" t="inlineStr">
        <is>
          <t>T13</t>
        </is>
      </c>
      <c r="B15" s="3" t="n"/>
      <c r="C15" s="3" t="n"/>
      <c r="D15" s="3" t="n"/>
      <c r="E15" s="3" t="n"/>
      <c r="F15" s="4" t="n"/>
      <c r="G15" s="4" t="n"/>
      <c r="H15" s="4" t="n"/>
      <c r="I15" s="3" t="n"/>
      <c r="J15" s="3" t="n"/>
      <c r="K15" s="3" t="n"/>
      <c r="L15" s="3" t="n"/>
      <c r="M15" s="3" t="n"/>
      <c r="N15" s="4" t="n"/>
      <c r="O15" s="4" t="n"/>
    </row>
    <row r="16" ht="30" customHeight="1">
      <c r="A16" s="3" t="inlineStr">
        <is>
          <t>T14</t>
        </is>
      </c>
      <c r="B16" s="3" t="n"/>
      <c r="C16" s="3" t="n"/>
      <c r="D16" s="3" t="n"/>
      <c r="E16" s="3" t="n"/>
      <c r="F16" s="4" t="n"/>
      <c r="G16" s="4" t="n"/>
      <c r="H16" s="4" t="n"/>
      <c r="I16" s="3" t="n"/>
      <c r="J16" s="3" t="n"/>
      <c r="K16" s="3" t="n"/>
      <c r="L16" s="3" t="n"/>
      <c r="M16" s="3" t="n"/>
      <c r="N16" s="4" t="n"/>
      <c r="O16" s="4" t="n"/>
    </row>
    <row r="17" ht="30" customHeight="1">
      <c r="A17" s="3" t="inlineStr">
        <is>
          <t>T15</t>
        </is>
      </c>
      <c r="B17" s="3" t="n"/>
      <c r="C17" s="3" t="n"/>
      <c r="D17" s="3" t="n"/>
      <c r="E17" s="3" t="n"/>
      <c r="F17" s="4" t="n"/>
      <c r="G17" s="4" t="n"/>
      <c r="H17" s="4" t="n"/>
      <c r="I17" s="3" t="n"/>
      <c r="J17" s="3" t="n"/>
      <c r="K17" s="3" t="n"/>
      <c r="L17" s="3" t="n"/>
      <c r="M17" s="3" t="n"/>
      <c r="N17" s="4" t="n"/>
      <c r="O17" s="4" t="n"/>
    </row>
    <row r="18" ht="30" customHeight="1">
      <c r="A18" s="3" t="inlineStr">
        <is>
          <t>T16</t>
        </is>
      </c>
      <c r="B18" s="3" t="n"/>
      <c r="C18" s="3" t="n"/>
      <c r="D18" s="3" t="n"/>
      <c r="E18" s="3" t="n"/>
      <c r="F18" s="4" t="n"/>
      <c r="G18" s="4" t="n"/>
      <c r="H18" s="4" t="n"/>
      <c r="I18" s="3" t="n"/>
      <c r="J18" s="3" t="n"/>
      <c r="K18" s="3" t="n"/>
      <c r="L18" s="3" t="n"/>
      <c r="M18" s="3" t="n"/>
      <c r="N18" s="4" t="n"/>
      <c r="O18" s="4" t="n"/>
    </row>
    <row r="19" ht="30" customHeight="1">
      <c r="A19" s="3" t="inlineStr">
        <is>
          <t>T17</t>
        </is>
      </c>
      <c r="B19" s="3" t="n"/>
      <c r="C19" s="3" t="n"/>
      <c r="D19" s="3" t="n"/>
      <c r="E19" s="3" t="n"/>
      <c r="F19" s="4" t="n"/>
      <c r="G19" s="4" t="n"/>
      <c r="H19" s="4" t="n"/>
      <c r="I19" s="3" t="n"/>
      <c r="J19" s="3" t="n"/>
      <c r="K19" s="3" t="n"/>
      <c r="L19" s="3" t="n"/>
      <c r="M19" s="3" t="n"/>
      <c r="N19" s="4" t="n"/>
      <c r="O19" s="4" t="n"/>
    </row>
    <row r="20" ht="30" customHeight="1">
      <c r="A20" s="3" t="inlineStr">
        <is>
          <t>T18</t>
        </is>
      </c>
      <c r="B20" s="3" t="n"/>
      <c r="C20" s="3" t="n"/>
      <c r="D20" s="3" t="n"/>
      <c r="E20" s="3" t="n"/>
      <c r="F20" s="4" t="n"/>
      <c r="G20" s="4" t="n"/>
      <c r="H20" s="4" t="n"/>
      <c r="I20" s="3" t="n"/>
      <c r="J20" s="3" t="n"/>
      <c r="K20" s="3" t="n"/>
      <c r="L20" s="3" t="n"/>
      <c r="M20" s="3" t="n"/>
      <c r="N20" s="4" t="n"/>
      <c r="O20" s="4" t="n"/>
    </row>
    <row r="21" ht="30" customHeight="1">
      <c r="A21" s="3" t="inlineStr">
        <is>
          <t>T19</t>
        </is>
      </c>
      <c r="B21" s="3" t="n"/>
      <c r="C21" s="3" t="n"/>
      <c r="D21" s="3" t="n"/>
      <c r="E21" s="3" t="n"/>
      <c r="F21" s="4" t="n"/>
      <c r="G21" s="4" t="n"/>
      <c r="H21" s="4" t="n"/>
      <c r="I21" s="3" t="n"/>
      <c r="J21" s="3" t="n"/>
      <c r="K21" s="3" t="n"/>
      <c r="L21" s="3" t="n"/>
      <c r="M21" s="3" t="n"/>
      <c r="N21" s="4" t="n"/>
      <c r="O21" s="4" t="n"/>
    </row>
    <row r="22" ht="30" customHeight="1">
      <c r="A22" s="3" t="inlineStr">
        <is>
          <t>T20</t>
        </is>
      </c>
      <c r="B22" s="3" t="n"/>
      <c r="C22" s="3" t="n"/>
      <c r="D22" s="3" t="n"/>
      <c r="E22" s="3" t="n"/>
      <c r="F22" s="4" t="n"/>
      <c r="G22" s="4" t="n"/>
      <c r="H22" s="4" t="n"/>
      <c r="I22" s="3" t="n"/>
      <c r="J22" s="3" t="n"/>
      <c r="K22" s="3" t="n"/>
      <c r="L22" s="3" t="n"/>
      <c r="M22" s="3" t="n"/>
      <c r="N22" s="4" t="n"/>
      <c r="O22" s="4" t="n"/>
    </row>
  </sheetData>
  <mergeCells count="1">
    <mergeCell ref="A1:O1"/>
  </mergeCells>
  <dataValidations count="8">
    <dataValidation sqref="C3:C22" showDropDown="0" showInputMessage="0" showErrorMessage="0" allowBlank="1" type="list">
      <formula1>"同学,游客,研学学生,亲友"</formula1>
    </dataValidation>
    <dataValidation sqref="D3:D22" showDropDown="0" showInputMessage="0" showErrorMessage="0" allowBlank="1" type="list">
      <formula1>"18 岁以下,18—25,26—40,41—60,60 岁以上"</formula1>
    </dataValidation>
    <dataValidation sqref="E3:E22" showDropDown="0" showInputMessage="0" showErrorMessage="0" allowBlank="1" type="list">
      <formula1>"我递手机,看海报扫码,线上链接"</formula1>
    </dataValidation>
    <dataValidation sqref="I3:I22" showDropDown="0" showInputMessage="0" showErrorMessage="0" allowBlank="1" type="list">
      <formula1>"1,2,3,4,5"</formula1>
    </dataValidation>
    <dataValidation sqref="J3:J22" showDropDown="0" showInputMessage="0" showErrorMessage="0" allowBlank="1" type="list">
      <formula1>"有,无"</formula1>
    </dataValidation>
    <dataValidation sqref="K3:K22" showDropDown="0" showInputMessage="0" showErrorMessage="0" allowBlank="1" type="list">
      <formula1>"是,否"</formula1>
    </dataValidation>
    <dataValidation sqref="L3:L22" showDropDown="0" showInputMessage="0" showErrorMessage="0" allowBlank="1" type="list">
      <formula1>"1,2,3,4,5"</formula1>
    </dataValidation>
    <dataValidation sqref="M3:M22" showDropDown="0" showInputMessage="0" showErrorMessage="0" allowBlank="1" type="list">
      <formula1>"愿意,看情况,不愿意"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B1:D21"/>
  <sheetViews>
    <sheetView workbookViewId="0">
      <selection activeCell="A1" sqref="A1"/>
    </sheetView>
  </sheetViews>
  <sheetFormatPr baseColWidth="8" defaultRowHeight="15"/>
  <cols>
    <col width="4" customWidth="1" min="1" max="1"/>
    <col width="26" customWidth="1" min="2" max="2"/>
    <col width="16" customWidth="1" min="3" max="3"/>
    <col width="52" customWidth="1" min="4" max="4"/>
  </cols>
  <sheetData>
    <row r="1">
      <c r="B1" s="5" t="inlineStr">
        <is>
          <t>自动汇总（改上面 20 行，这里跟着变）</t>
        </is>
      </c>
    </row>
    <row r="3">
      <c r="B3" s="6" t="inlineStr">
        <is>
          <t>有效样本数</t>
        </is>
      </c>
      <c r="C3" s="7">
        <f>COUNTA('测试记录'!A3:A22)</f>
        <v/>
      </c>
      <c r="D3" s="8" t="inlineStr">
        <is>
          <t>填写了的测试编号个数</t>
        </is>
      </c>
    </row>
    <row r="4">
      <c r="B4" s="6" t="inlineStr">
        <is>
          <t>平均准确性（1—5）</t>
        </is>
      </c>
      <c r="C4" s="9">
        <f>IFERROR(AVERAGE('测试记录'!I3:I22),"")</f>
        <v/>
      </c>
      <c r="D4" s="8" t="inlineStr">
        <is>
          <t>低于 4.0 必须先改知识库，不要改话术</t>
        </is>
      </c>
    </row>
    <row r="5">
      <c r="B5" s="6" t="inlineStr">
        <is>
          <t>出现编造的条数</t>
        </is>
      </c>
      <c r="C5" s="7">
        <f>COUNTIF('测试记录'!J3:J22,"有")</f>
        <v/>
      </c>
      <c r="D5" s="8" t="inlineStr">
        <is>
          <t>答辩口径：这个数必须是 0</t>
        </is>
      </c>
    </row>
    <row r="6">
      <c r="B6" s="6" t="inlineStr">
        <is>
          <t>编造率</t>
        </is>
      </c>
      <c r="C6" s="10">
        <f>IFERROR(COUNTIF('测试记录'!J3:J22,"有")/COUNTA('测试记录'!J3:J22),"")</f>
        <v/>
      </c>
      <c r="D6" s="8" t="inlineStr">
        <is>
          <t>只有 0 才能说“没有编造”</t>
        </is>
      </c>
    </row>
    <row r="7">
      <c r="B7" s="6" t="inlineStr">
        <is>
          <t>拒答得当条数</t>
        </is>
      </c>
      <c r="C7" s="7">
        <f>COUNTIF('测试记录'!K3:K22,"是")</f>
        <v/>
      </c>
      <c r="D7" s="8" t="inlineStr">
        <is>
          <t>该拒的拒了、且话说得清楚</t>
        </is>
      </c>
    </row>
    <row r="8">
      <c r="B8" s="6" t="inlineStr">
        <is>
          <t>平均提问轮次</t>
        </is>
      </c>
      <c r="C8" s="9">
        <f>IFERROR(AVERAGE('测试记录'!L3:L22),"")</f>
        <v/>
      </c>
      <c r="D8" s="8" t="inlineStr">
        <is>
          <t>低于 2 轮说明没问起来，卡片入口要前置</t>
        </is>
      </c>
    </row>
    <row r="9">
      <c r="B9" s="6" t="inlineStr">
        <is>
          <t>愿意分享占比</t>
        </is>
      </c>
      <c r="C9" s="10">
        <f>IFERROR(COUNTIF('测试记录'!M3:M22,"愿意")/COUNTA('测试记录'!M3:M22),"")</f>
        <v/>
      </c>
      <c r="D9" s="8" t="inlineStr">
        <is>
          <t>低于 40% 先改摘要写法，不要先改设计</t>
        </is>
      </c>
    </row>
    <row r="10">
      <c r="B10" s="6" t="inlineStr">
        <is>
          <t>扫码进入占比</t>
        </is>
      </c>
      <c r="C10" s="10">
        <f>IFERROR(COUNTIF('测试记录'!E3:E22,"看海报扫码")/COUNTA('测试记录'!E3:E22),"")</f>
        <v/>
      </c>
      <c r="D10" s="8" t="inlineStr">
        <is>
          <t>检验二维码在真实场景是否被扫</t>
        </is>
      </c>
    </row>
    <row r="12">
      <c r="B12" s="11" t="inlineStr">
        <is>
          <t>按对象拆开的准确率</t>
        </is>
      </c>
    </row>
    <row r="13">
      <c r="B13" s="12" t="inlineStr">
        <is>
          <t>同学</t>
        </is>
      </c>
      <c r="C13" s="9">
        <f>IFERROR(AVERAGEIF('测试记录'!C3:C22,"同学",'测试记录'!I3:I22),"—")</f>
        <v/>
      </c>
    </row>
    <row r="14">
      <c r="B14" s="12" t="inlineStr">
        <is>
          <t>游客</t>
        </is>
      </c>
      <c r="C14" s="9">
        <f>IFERROR(AVERAGEIF('测试记录'!C3:C22,"游客",'测试记录'!I3:I22),"—")</f>
        <v/>
      </c>
    </row>
    <row r="15">
      <c r="B15" s="12" t="inlineStr">
        <is>
          <t>研学学生</t>
        </is>
      </c>
      <c r="C15" s="9">
        <f>IFERROR(AVERAGEIF('测试记录'!C3:C22,"研学学生",'测试记录'!I3:I22),"—")</f>
        <v/>
      </c>
    </row>
    <row r="16">
      <c r="B16" s="12" t="inlineStr">
        <is>
          <t>亲友</t>
        </is>
      </c>
      <c r="C16" s="9">
        <f>IFERROR(AVERAGEIF('测试记录'!C3:C22,"亲友",'测试记录'!I3:I22),"—")</f>
        <v/>
      </c>
    </row>
    <row r="18">
      <c r="B18" s="11" t="inlineStr">
        <is>
          <t>结论（测完手写 3 行）</t>
        </is>
      </c>
    </row>
    <row r="19">
      <c r="B19" s="13" t="inlineStr">
        <is>
          <t>① 最常问的 3 个问题（补进知识库）</t>
        </is>
      </c>
      <c r="C19" s="14" t="n"/>
    </row>
    <row r="20">
      <c r="B20" s="13" t="inlineStr">
        <is>
          <t>② 改了什么（一句话）</t>
        </is>
      </c>
      <c r="C20" s="14" t="n"/>
    </row>
    <row r="21">
      <c r="B21" s="13" t="inlineStr">
        <is>
          <t>③ 还有哪个问题答不住（写进局限）</t>
        </is>
      </c>
      <c r="C21" s="14" t="n"/>
    </row>
  </sheetData>
  <mergeCells count="3">
    <mergeCell ref="C20:D20"/>
    <mergeCell ref="C21:D21"/>
    <mergeCell ref="C19:D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B1:C10"/>
  <sheetViews>
    <sheetView workbookViewId="0">
      <selection activeCell="A1" sqref="A1"/>
    </sheetView>
  </sheetViews>
  <sheetFormatPr baseColWidth="8" defaultRowHeight="15"/>
  <cols>
    <col width="4" customWidth="1" min="1" max="1"/>
    <col width="30" customWidth="1" min="2" max="2"/>
    <col width="66" customWidth="1" min="3" max="3"/>
  </cols>
  <sheetData>
    <row r="1">
      <c r="B1" s="5" t="inlineStr">
        <is>
          <t>访谈提纲（照着念，不要临场发挥）</t>
        </is>
      </c>
    </row>
    <row r="3" ht="30" customHeight="1">
      <c r="B3" s="6" t="inlineStr">
        <is>
          <t>开场（必说）</t>
        </is>
      </c>
      <c r="C3" s="15" t="inlineStr">
        <is>
          <t>这不是考试，也没有标准答案。你随便问，觉得哪里不对直接说，我在改。</t>
        </is>
      </c>
    </row>
    <row r="4" ht="30" customHeight="1">
      <c r="B4" s="6" t="inlineStr">
        <is>
          <t>Q1 第一印象</t>
        </is>
      </c>
      <c r="C4" s="15" t="inlineStr">
        <is>
          <t>打开这个页面，你知道它是干什么的吗？</t>
        </is>
      </c>
    </row>
    <row r="5" ht="30" customHeight="1">
      <c r="B5" s="6" t="inlineStr">
        <is>
          <t>Q2 真实性</t>
        </is>
      </c>
      <c r="C5" s="15" t="inlineStr">
        <is>
          <t>你信它说的吗？为什么信 / 为什么不信？</t>
        </is>
      </c>
    </row>
    <row r="6" ht="30" customHeight="1">
      <c r="B6" s="6" t="inlineStr">
        <is>
          <t>Q3 来源</t>
        </is>
      </c>
      <c r="C6" s="15" t="inlineStr">
        <is>
          <t>你会点开那个来源看原文吗？点开之后呢？</t>
        </is>
      </c>
    </row>
    <row r="7" ht="30" customHeight="1">
      <c r="B7" s="6" t="inlineStr">
        <is>
          <t>Q4 分享</t>
        </is>
      </c>
      <c r="C7" s="15" t="inlineStr">
        <is>
          <t>这张问答卡你会发朋友圈吗？会 / 不会 / 看情况，为什么？</t>
        </is>
      </c>
    </row>
    <row r="8" ht="30" customHeight="1">
      <c r="B8" s="6" t="inlineStr">
        <is>
          <t>Q5 改动</t>
        </is>
      </c>
      <c r="C8" s="15" t="inlineStr">
        <is>
          <t>如果要发，你会改哪一句？（记录他具体改的那个词）</t>
        </is>
      </c>
    </row>
    <row r="9" ht="30" customHeight="1">
      <c r="B9" s="6" t="inlineStr">
        <is>
          <t>Q6 场景</t>
        </is>
      </c>
      <c r="C9" s="15" t="inlineStr">
        <is>
          <t>下次来延安，你会在什么时候打开它？进馆前、在展柜前，还是回去以后？</t>
        </is>
      </c>
    </row>
    <row r="10" ht="30" customHeight="1">
      <c r="B10" s="6" t="inlineStr">
        <is>
          <t>收尾（必说）</t>
        </is>
      </c>
      <c r="C10" s="15" t="inlineStr">
        <is>
          <t>如果它答不上来，你希望它怎么回答？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2026-10-29T05:54:27Z</dcterms:created>
  <dcterms:modified xmlns:dcterms="http://purl.org/dc/terms/" xmlns:xsi="http://www.w3.org/2001/XMLSchema-instance" xsi:type="dcterms:W3CDTF">2026-10-29T05:54:27Z</dcterms:modified>
</cp:coreProperties>
</file>